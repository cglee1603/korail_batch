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철도공사\ragplus\ragflow-plus\rag_batch\data\"/>
    </mc:Choice>
  </mc:AlternateContent>
  <xr:revisionPtr revIDLastSave="0" documentId="13_ncr:1_{6F87C5A5-3B9F-4945-AFCA-86991D5DAE09}" xr6:coauthVersionLast="47" xr6:coauthVersionMax="47" xr10:uidLastSave="{00000000-0000-0000-0000-000000000000}"/>
  <bookViews>
    <workbookView xWindow="-120" yWindow="-120" windowWidth="29040" windowHeight="15720" firstSheet="2" activeTab="4" xr2:uid="{620EDE04-8932-45BB-8520-6B2917E630E3}"/>
  </bookViews>
  <sheets>
    <sheet name="목차" sheetId="1" r:id="rId1"/>
    <sheet name="KTX-EMU 매뉴얼" sheetId="2" r:id="rId2"/>
    <sheet name="2. KTX-EMU 외주수선설명서" sheetId="3" r:id="rId3"/>
    <sheet name="3. KTX-EMU 시험조사" sheetId="4" r:id="rId4"/>
    <sheet name="6. KTX-이음 소프트웨어" sheetId="8" r:id="rId5"/>
    <sheet name="7. KTX-EMU 신뢰성분석" sheetId="6" r:id="rId6"/>
    <sheet name="8. KTX-이음 유지보수성 입증 자료(30량)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8" l="1"/>
  <c r="M7" i="8"/>
</calcChain>
</file>

<file path=xl/sharedStrings.xml><?xml version="1.0" encoding="utf-8"?>
<sst xmlns="http://schemas.openxmlformats.org/spreadsheetml/2006/main" count="244" uniqueCount="188">
  <si>
    <t>고속차량(동력분산식)KTX-EMU 기술관리 자료 목록</t>
    <phoneticPr fontId="1" type="noConversion"/>
  </si>
  <si>
    <t>1. KTX-EMU 유지보수 매뉴얼</t>
    <phoneticPr fontId="1" type="noConversion"/>
  </si>
  <si>
    <t>바로가기</t>
    <phoneticPr fontId="1" type="noConversion"/>
  </si>
  <si>
    <t>2. KTX-EMU 외주수선설명서</t>
    <phoneticPr fontId="1" type="noConversion"/>
  </si>
  <si>
    <t>KTX-EMU 유지보수 매뉴얼</t>
    <phoneticPr fontId="1" type="noConversion"/>
  </si>
  <si>
    <t>목차로 되돌아가기</t>
    <phoneticPr fontId="1" type="noConversion"/>
  </si>
  <si>
    <t>크롬다운로드</t>
    <phoneticPr fontId="1" type="noConversion"/>
  </si>
  <si>
    <t>링크가 깨지는 경우 크롬 다운로드 및 설치 후 재시행</t>
    <phoneticPr fontId="1" type="noConversion"/>
  </si>
  <si>
    <t>1-1 KTX-이름 경정비, 1-2 KTX-이음 중정비, 1-3 KTX-청룡 경정비, 1-4 KTX-청룡-중정비</t>
    <phoneticPr fontId="1" type="noConversion"/>
  </si>
  <si>
    <t>재/개(2)</t>
    <phoneticPr fontId="1" type="noConversion"/>
  </si>
  <si>
    <t>년도(1)</t>
    <phoneticPr fontId="1" type="noConversion"/>
  </si>
  <si>
    <t>경/중(3)</t>
    <phoneticPr fontId="1" type="noConversion"/>
  </si>
  <si>
    <t>WBS(4)</t>
    <phoneticPr fontId="1" type="noConversion"/>
  </si>
  <si>
    <t>WBS(5)</t>
    <phoneticPr fontId="1" type="noConversion"/>
  </si>
  <si>
    <t>WBS(6)</t>
    <phoneticPr fontId="1" type="noConversion"/>
  </si>
  <si>
    <t>WBS(7)</t>
    <phoneticPr fontId="1" type="noConversion"/>
  </si>
  <si>
    <t>WBS(8)</t>
    <phoneticPr fontId="1" type="noConversion"/>
  </si>
  <si>
    <t>WBS(4,5,6,7,8)</t>
    <phoneticPr fontId="1" type="noConversion"/>
  </si>
  <si>
    <t>제목(10)</t>
    <phoneticPr fontId="1" type="noConversion"/>
  </si>
  <si>
    <t>종별(9)</t>
    <phoneticPr fontId="1" type="noConversion"/>
  </si>
  <si>
    <t>REV.(11)</t>
    <phoneticPr fontId="1" type="noConversion"/>
  </si>
  <si>
    <t>상태(12)</t>
    <phoneticPr fontId="1" type="noConversion"/>
  </si>
  <si>
    <t>개정일자(13)</t>
    <phoneticPr fontId="1" type="noConversion"/>
  </si>
  <si>
    <t>승인요청공문(14)</t>
    <phoneticPr fontId="1" type="noConversion"/>
  </si>
  <si>
    <t>승인공문(15)</t>
    <phoneticPr fontId="1" type="noConversion"/>
  </si>
  <si>
    <t>비고(19)</t>
    <phoneticPr fontId="1" type="noConversion"/>
  </si>
  <si>
    <t>개정</t>
    <phoneticPr fontId="1" type="noConversion"/>
  </si>
  <si>
    <t>경</t>
    <phoneticPr fontId="1" type="noConversion"/>
  </si>
  <si>
    <t>K20</t>
    <phoneticPr fontId="1" type="noConversion"/>
  </si>
  <si>
    <t>U2100</t>
    <phoneticPr fontId="1" type="noConversion"/>
  </si>
  <si>
    <t>HQ-T</t>
    <phoneticPr fontId="1" type="noConversion"/>
  </si>
  <si>
    <t>K20-5-U1200-HQ-T-000</t>
    <phoneticPr fontId="1" type="noConversion"/>
  </si>
  <si>
    <t>설명 및 기능 매뉴얼-일반사항</t>
    <phoneticPr fontId="1" type="noConversion"/>
  </si>
  <si>
    <t>매뉴얼 일반사항</t>
    <phoneticPr fontId="1" type="noConversion"/>
  </si>
  <si>
    <t>A4</t>
    <phoneticPr fontId="1" type="noConversion"/>
  </si>
  <si>
    <t>◎적용중</t>
    <phoneticPr fontId="1" type="noConversion"/>
  </si>
  <si>
    <t>고속차량처-1332(2025.03.10.)</t>
    <phoneticPr fontId="1" type="noConversion"/>
  </si>
  <si>
    <t>U2200</t>
    <phoneticPr fontId="1" type="noConversion"/>
  </si>
  <si>
    <t>000</t>
    <phoneticPr fontId="1" type="noConversion"/>
  </si>
  <si>
    <t>001</t>
    <phoneticPr fontId="1" type="noConversion"/>
  </si>
  <si>
    <t>002</t>
    <phoneticPr fontId="1" type="noConversion"/>
  </si>
  <si>
    <t>K20-5-U2200-HQ-T-001</t>
    <phoneticPr fontId="1" type="noConversion"/>
  </si>
  <si>
    <t>K20-5-U2200-HQ-T-002</t>
    <phoneticPr fontId="1" type="noConversion"/>
  </si>
  <si>
    <t>A1</t>
    <phoneticPr fontId="1" type="noConversion"/>
  </si>
  <si>
    <t>A</t>
    <phoneticPr fontId="1" type="noConversion"/>
  </si>
  <si>
    <t>KTX-EMU 외주수선설명서</t>
    <phoneticPr fontId="1" type="noConversion"/>
  </si>
  <si>
    <t>작성양식</t>
    <phoneticPr fontId="1" type="noConversion"/>
  </si>
  <si>
    <t>구분</t>
    <phoneticPr fontId="1" type="noConversion"/>
  </si>
  <si>
    <t>작성년도</t>
    <phoneticPr fontId="1" type="noConversion"/>
  </si>
  <si>
    <t>차종이름</t>
    <phoneticPr fontId="1" type="noConversion"/>
  </si>
  <si>
    <t>관리번호</t>
    <phoneticPr fontId="1" type="noConversion"/>
  </si>
  <si>
    <t>제목</t>
    <phoneticPr fontId="1" type="noConversion"/>
  </si>
  <si>
    <t>작성버전</t>
    <phoneticPr fontId="1" type="noConversion"/>
  </si>
  <si>
    <t>상태</t>
    <phoneticPr fontId="1" type="noConversion"/>
  </si>
  <si>
    <t>담당자</t>
    <phoneticPr fontId="1" type="noConversion"/>
  </si>
  <si>
    <t>R6</t>
    <phoneticPr fontId="1" type="noConversion"/>
  </si>
  <si>
    <t>제정</t>
    <phoneticPr fontId="1" type="noConversion"/>
  </si>
  <si>
    <t>KTX-이름</t>
    <phoneticPr fontId="1" type="noConversion"/>
  </si>
  <si>
    <t>KTX-청룡</t>
    <phoneticPr fontId="1" type="noConversion"/>
  </si>
  <si>
    <t>K20-2023-01호</t>
    <phoneticPr fontId="1" type="noConversion"/>
  </si>
  <si>
    <t>K22-2023-01호</t>
    <phoneticPr fontId="1" type="noConversion"/>
  </si>
  <si>
    <t xml:space="preserve">KTX-EMU 기술개발 및 개조개량 이력 및 현황 </t>
    <phoneticPr fontId="1" type="noConversion"/>
  </si>
  <si>
    <t>※ K20(이음), K22(청룡)</t>
    <phoneticPr fontId="1" type="noConversion"/>
  </si>
  <si>
    <t>관리번호(1)</t>
    <phoneticPr fontId="1" type="noConversion"/>
  </si>
  <si>
    <t>차종</t>
    <phoneticPr fontId="1" type="noConversion"/>
  </si>
  <si>
    <t>제목(2)</t>
    <phoneticPr fontId="1" type="noConversion"/>
  </si>
  <si>
    <t>[시험조사영역]</t>
    <phoneticPr fontId="1" type="noConversion"/>
  </si>
  <si>
    <t>시험조사추진내역(3)</t>
    <phoneticPr fontId="1" type="noConversion"/>
  </si>
  <si>
    <t>시험조사번호(4)</t>
    <phoneticPr fontId="1" type="noConversion"/>
  </si>
  <si>
    <t>해당자재(5)</t>
    <phoneticPr fontId="1" type="noConversion"/>
  </si>
  <si>
    <t>검토소속(6)</t>
    <phoneticPr fontId="1" type="noConversion"/>
  </si>
  <si>
    <t>착수일(7)</t>
    <phoneticPr fontId="1" type="noConversion"/>
  </si>
  <si>
    <t>완료일(8)</t>
    <phoneticPr fontId="1" type="noConversion"/>
  </si>
  <si>
    <t>[확대적용 영역]</t>
    <phoneticPr fontId="1" type="noConversion"/>
  </si>
  <si>
    <t>확대적용추진내역(9)</t>
    <phoneticPr fontId="1" type="noConversion"/>
  </si>
  <si>
    <t>기술변경 적용번호(10)</t>
    <phoneticPr fontId="1" type="noConversion"/>
  </si>
  <si>
    <t>착수일(11)</t>
    <phoneticPr fontId="1" type="noConversion"/>
  </si>
  <si>
    <t>완료일(12)</t>
    <phoneticPr fontId="1" type="noConversion"/>
  </si>
  <si>
    <t>[기술변경 및 후속조치 진행표]</t>
    <phoneticPr fontId="1" type="noConversion"/>
  </si>
  <si>
    <t>시험조사(13)</t>
    <phoneticPr fontId="1" type="noConversion"/>
  </si>
  <si>
    <t>도면(14)</t>
    <phoneticPr fontId="1" type="noConversion"/>
  </si>
  <si>
    <t>자재구매(15)</t>
    <phoneticPr fontId="1" type="noConversion"/>
  </si>
  <si>
    <t>&lt;확대적용 MAP&gt;</t>
    <phoneticPr fontId="1" type="noConversion"/>
  </si>
  <si>
    <t>물품수선(!6)</t>
    <phoneticPr fontId="1" type="noConversion"/>
  </si>
  <si>
    <t>일제적용(17)</t>
    <phoneticPr fontId="1" type="noConversion"/>
  </si>
  <si>
    <t>TYPE1</t>
    <phoneticPr fontId="1" type="noConversion"/>
  </si>
  <si>
    <t>TYPE2</t>
    <phoneticPr fontId="1" type="noConversion"/>
  </si>
  <si>
    <t>INV</t>
    <phoneticPr fontId="1" type="noConversion"/>
  </si>
  <si>
    <t xml:space="preserve"> 매뉴얼개정(18)</t>
    <phoneticPr fontId="1" type="noConversion"/>
  </si>
  <si>
    <t>FTM</t>
    <phoneticPr fontId="1" type="noConversion"/>
  </si>
  <si>
    <t>신뢰성분석(19)</t>
    <phoneticPr fontId="1" type="noConversion"/>
  </si>
  <si>
    <t>최종완료(20)</t>
    <phoneticPr fontId="1" type="noConversion"/>
  </si>
  <si>
    <t>국가 R&amp;D 철도차량 부품개발사업 관련 현차시험 심의회의 결과알림</t>
    <phoneticPr fontId="1" type="noConversion"/>
  </si>
  <si>
    <t>고속차량처-1294(2024.03.14.)호</t>
    <phoneticPr fontId="1" type="noConversion"/>
  </si>
  <si>
    <t>KTX-이름 통합 현차시험 관련 매뉴얼 배포</t>
    <phoneticPr fontId="1" type="noConversion"/>
  </si>
  <si>
    <t>철도차량 부품개발사업단TF-261(2024.04.08.)호</t>
    <phoneticPr fontId="1" type="noConversion"/>
  </si>
  <si>
    <t>진행</t>
    <phoneticPr fontId="1" type="noConversion"/>
  </si>
  <si>
    <t>KTX-이음</t>
    <phoneticPr fontId="1" type="noConversion"/>
  </si>
  <si>
    <t>KTX-이음 유지보수성 입증(30량)</t>
    <phoneticPr fontId="1" type="noConversion"/>
  </si>
  <si>
    <t>순번</t>
    <phoneticPr fontId="1" type="noConversion"/>
  </si>
  <si>
    <t>유지보수성 입증 장치</t>
    <phoneticPr fontId="1" type="noConversion"/>
  </si>
  <si>
    <t>작업명</t>
    <phoneticPr fontId="1" type="noConversion"/>
  </si>
  <si>
    <t>개별 영상</t>
    <phoneticPr fontId="1" type="noConversion"/>
  </si>
  <si>
    <t>기준</t>
    <phoneticPr fontId="1" type="noConversion"/>
  </si>
  <si>
    <t>인원(명)</t>
    <phoneticPr fontId="1" type="noConversion"/>
  </si>
  <si>
    <t>기간(H)</t>
    <phoneticPr fontId="1" type="noConversion"/>
  </si>
  <si>
    <t>MH</t>
    <phoneticPr fontId="1" type="noConversion"/>
  </si>
  <si>
    <t>결과</t>
    <phoneticPr fontId="1" type="noConversion"/>
  </si>
  <si>
    <t>판정</t>
    <phoneticPr fontId="1" type="noConversion"/>
  </si>
  <si>
    <t>비고(시험일/장소)</t>
    <phoneticPr fontId="1" type="noConversion"/>
  </si>
  <si>
    <t>전원장치 냉각팬</t>
    <phoneticPr fontId="1" type="noConversion"/>
  </si>
  <si>
    <t>1-1</t>
    <phoneticPr fontId="1" type="noConversion"/>
  </si>
  <si>
    <t>1-2</t>
    <phoneticPr fontId="1" type="noConversion"/>
  </si>
  <si>
    <t>2</t>
    <phoneticPr fontId="1" type="noConversion"/>
  </si>
  <si>
    <t>통로 연결기(페어링)</t>
    <phoneticPr fontId="1" type="noConversion"/>
  </si>
  <si>
    <t>최거,취부</t>
    <phoneticPr fontId="1" type="noConversion"/>
  </si>
  <si>
    <t>취부</t>
    <phoneticPr fontId="1" type="noConversion"/>
  </si>
  <si>
    <t>취거</t>
    <phoneticPr fontId="1" type="noConversion"/>
  </si>
  <si>
    <t>다운로드</t>
    <phoneticPr fontId="1" type="noConversion"/>
  </si>
  <si>
    <t>2.00</t>
    <phoneticPr fontId="1" type="noConversion"/>
  </si>
  <si>
    <t>6.00</t>
  </si>
  <si>
    <t>6.00</t>
    <phoneticPr fontId="1" type="noConversion"/>
  </si>
  <si>
    <t>1.50</t>
    <phoneticPr fontId="1" type="noConversion"/>
  </si>
  <si>
    <t>300</t>
    <phoneticPr fontId="1" type="noConversion"/>
  </si>
  <si>
    <t>1.42</t>
    <phoneticPr fontId="1" type="noConversion"/>
  </si>
  <si>
    <t>2.83</t>
    <phoneticPr fontId="1" type="noConversion"/>
  </si>
  <si>
    <t>26.00</t>
    <phoneticPr fontId="1" type="noConversion"/>
  </si>
  <si>
    <t>4.33</t>
    <phoneticPr fontId="1" type="noConversion"/>
  </si>
  <si>
    <t>30.00</t>
    <phoneticPr fontId="1" type="noConversion"/>
  </si>
  <si>
    <t>5.00</t>
    <phoneticPr fontId="1" type="noConversion"/>
  </si>
  <si>
    <t>합격</t>
    <phoneticPr fontId="1" type="noConversion"/>
  </si>
  <si>
    <t>3/30(강릉)</t>
    <phoneticPr fontId="1" type="noConversion"/>
  </si>
  <si>
    <t>4/15(강릉)</t>
    <phoneticPr fontId="1" type="noConversion"/>
  </si>
  <si>
    <t>KTX-EMU 신뢰성분석</t>
    <phoneticPr fontId="1" type="noConversion"/>
  </si>
  <si>
    <t>일자</t>
    <phoneticPr fontId="1" type="noConversion"/>
  </si>
  <si>
    <t>문서번호</t>
    <phoneticPr fontId="1" type="noConversion"/>
  </si>
  <si>
    <t>자재번호</t>
    <phoneticPr fontId="1" type="noConversion"/>
  </si>
  <si>
    <t>부품명링</t>
    <phoneticPr fontId="1" type="noConversion"/>
  </si>
  <si>
    <t>TBO</t>
    <phoneticPr fontId="1" type="noConversion"/>
  </si>
  <si>
    <t>현행</t>
    <phoneticPr fontId="1" type="noConversion"/>
  </si>
  <si>
    <t>변경(결론(</t>
    <phoneticPr fontId="1" type="noConversion"/>
  </si>
  <si>
    <t>반영여부</t>
    <phoneticPr fontId="1" type="noConversion"/>
  </si>
  <si>
    <t>비고</t>
    <phoneticPr fontId="1" type="noConversion"/>
  </si>
  <si>
    <t>23/1/13</t>
    <phoneticPr fontId="1" type="noConversion"/>
  </si>
  <si>
    <t>BTM안테나 신뢰성분석</t>
    <phoneticPr fontId="1" type="noConversion"/>
  </si>
  <si>
    <t>172</t>
    <phoneticPr fontId="1" type="noConversion"/>
  </si>
  <si>
    <t>1085995</t>
    <phoneticPr fontId="1" type="noConversion"/>
  </si>
  <si>
    <t>발리스안테나 BTM SGP00261</t>
    <phoneticPr fontId="1" type="noConversion"/>
  </si>
  <si>
    <t>-</t>
    <phoneticPr fontId="1" type="noConversion"/>
  </si>
  <si>
    <t>고장수리</t>
    <phoneticPr fontId="1" type="noConversion"/>
  </si>
  <si>
    <t>기존품과 개선품 혼용 취부로, 순차적으로 교환 필요(개선품</t>
    <phoneticPr fontId="1" type="noConversion"/>
  </si>
  <si>
    <t>반영</t>
    <phoneticPr fontId="1" type="noConversion"/>
  </si>
  <si>
    <t>고속차량(KTX-산천) 유지보수회의 결과 알림. (BTM안테나)</t>
    <phoneticPr fontId="1" type="noConversion"/>
  </si>
  <si>
    <t>고속차량처-687(2023.02.10.)호</t>
    <phoneticPr fontId="1" type="noConversion"/>
  </si>
  <si>
    <t>보수품 구매시 V15버전 이상 개선품 구매 필요</t>
    <phoneticPr fontId="1" type="noConversion"/>
  </si>
  <si>
    <t>2021부터 고장이 증가함에 따라, 선제적인 장애예방을 위한 교환 필요</t>
    <phoneticPr fontId="1" type="noConversion"/>
  </si>
  <si>
    <t>KTX-이음 소프트웨어 형상기록</t>
    <phoneticPr fontId="1" type="noConversion"/>
  </si>
  <si>
    <t>소프트웨어
탑재 장치명</t>
    <phoneticPr fontId="1" type="noConversion"/>
  </si>
  <si>
    <t>하위제어장치
Control unit</t>
    <phoneticPr fontId="1" type="noConversion"/>
  </si>
  <si>
    <t xml:space="preserve"> 소프트웨어
관리번호</t>
    <phoneticPr fontId="1" type="noConversion"/>
  </si>
  <si>
    <t>작용차호</t>
    <phoneticPr fontId="1" type="noConversion"/>
  </si>
  <si>
    <t>TC1</t>
    <phoneticPr fontId="1" type="noConversion"/>
  </si>
  <si>
    <t>M'1</t>
    <phoneticPr fontId="1" type="noConversion"/>
  </si>
  <si>
    <t>M1</t>
    <phoneticPr fontId="1" type="noConversion"/>
  </si>
  <si>
    <t>M2</t>
    <phoneticPr fontId="1" type="noConversion"/>
  </si>
  <si>
    <t>M'2</t>
    <phoneticPr fontId="1" type="noConversion"/>
  </si>
  <si>
    <t>TC2</t>
    <phoneticPr fontId="1" type="noConversion"/>
  </si>
  <si>
    <t>S/W
최신 버전</t>
    <phoneticPr fontId="1" type="noConversion"/>
  </si>
  <si>
    <t>적용 버전</t>
    <phoneticPr fontId="1" type="noConversion"/>
  </si>
  <si>
    <t>동일여부</t>
    <phoneticPr fontId="1" type="noConversion"/>
  </si>
  <si>
    <t>공급사</t>
    <phoneticPr fontId="1" type="noConversion"/>
  </si>
  <si>
    <t>소프트웨어 확인방법</t>
    <phoneticPr fontId="1" type="noConversion"/>
  </si>
  <si>
    <t>TDCS
DU2</t>
    <phoneticPr fontId="1" type="noConversion"/>
  </si>
  <si>
    <t>NOTE
BOOK</t>
    <phoneticPr fontId="1" type="noConversion"/>
  </si>
  <si>
    <t>REV.
TAG</t>
    <phoneticPr fontId="1" type="noConversion"/>
  </si>
  <si>
    <t>SEGMENT</t>
    <phoneticPr fontId="1" type="noConversion"/>
  </si>
  <si>
    <t>BMS</t>
    <phoneticPr fontId="1" type="noConversion"/>
  </si>
  <si>
    <t>1MB3-CRT</t>
    <phoneticPr fontId="1" type="noConversion"/>
  </si>
  <si>
    <t>RNH1601-SW-0001</t>
    <phoneticPr fontId="1" type="noConversion"/>
  </si>
  <si>
    <t>●</t>
    <phoneticPr fontId="1" type="noConversion"/>
  </si>
  <si>
    <t>CS에너텍</t>
    <phoneticPr fontId="1" type="noConversion"/>
  </si>
  <si>
    <t>iFE</t>
    <phoneticPr fontId="1" type="noConversion"/>
  </si>
  <si>
    <t>RNH1601-SW-0004</t>
    <phoneticPr fontId="1" type="noConversion"/>
  </si>
  <si>
    <t>DCU</t>
    <phoneticPr fontId="1" type="noConversion"/>
  </si>
  <si>
    <t>승강문</t>
    <phoneticPr fontId="1" type="noConversion"/>
  </si>
  <si>
    <t>2-1</t>
    <phoneticPr fontId="1" type="noConversion"/>
  </si>
  <si>
    <t>※ TDCS DU2 확인시 미나얼미나얼미;ㅏ넝리ㅏ;ㅁ넝리ㅏㅁ넝리;ㅏㅓㅁㄴ이;ㅏㄹ;ㅓㅁ니ㅏ;ㅇ러미;ㅏ넝림나ㅓㅇ리;마넝리ㅏ;;먼ㅇ;ㅣ라ㅓㅁㄴ이;ㅏ럼ㄴ이ㅏ;럼ㄴ이;라ㅓ</t>
    <phoneticPr fontId="1" type="noConversion"/>
  </si>
  <si>
    <t>목차로 돌아가기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</si>
</sst>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20241028122255.pdf" TargetMode="External"/><Relationship Id="rId2" Type="http://schemas.openxmlformats.org/officeDocument/2006/relationships/hyperlink" Target="testpdf/VPN%20&#50868;&#50689;%20&#47700;&#45684;&#50620;.zip" TargetMode="External"/><Relationship Id="rId1" Type="http://schemas.openxmlformats.org/officeDocument/2006/relationships/hyperlink" Target="testpdf/CHATHUB%20Manual%20Version%203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testpdf\&#44256;&#44061;%20&#51217;&#51216;%20&#49436;&#48708;&#49828;%20&#44508;&#51221;(&#44592;&#53440;%2020210210).hwp" TargetMode="External"/><Relationship Id="rId1" Type="http://schemas.openxmlformats.org/officeDocument/2006/relationships/hyperlink" Target="testpdf\CHATHUB%20Manual%20Version%203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\..\..\..\4.&#51204;&#47928;&#50504;.pdf" TargetMode="External"/><Relationship Id="rId2" Type="http://schemas.openxmlformats.org/officeDocument/2006/relationships/hyperlink" Target="query.sql" TargetMode="External"/><Relationship Id="rId1" Type="http://schemas.openxmlformats.org/officeDocument/2006/relationships/hyperlink" Target="..\..\..\..\4.&#51204;&#47928;&#50504;.pdf" TargetMode="External"/><Relationship Id="rId4" Type="http://schemas.openxmlformats.org/officeDocument/2006/relationships/hyperlink" Target="../../../../../../Users/lee/Downloads/ragflowDB_&#51221;&#47532;_20251126_v1.0.xls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\..\..\..\4.&#51204;&#47928;&#50504;.pdf" TargetMode="External"/><Relationship Id="rId2" Type="http://schemas.openxmlformats.org/officeDocument/2006/relationships/hyperlink" Target="..\..\..\..\4.&#51204;&#47928;&#50504;.pdf" TargetMode="External"/><Relationship Id="rId1" Type="http://schemas.openxmlformats.org/officeDocument/2006/relationships/hyperlink" Target="..\..\..\..\4.&#51204;&#47928;&#50504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28F4-D46F-4AEA-A3E5-58BF5A35D1C6}">
  <dimension ref="B2:E4"/>
  <sheetViews>
    <sheetView workbookViewId="0">
      <selection activeCell="E4" sqref="E4"/>
    </sheetView>
  </sheetViews>
  <sheetFormatPr defaultRowHeight="16.5" x14ac:dyDescent="0.3"/>
  <sheetData>
    <row r="2" spans="2:5" x14ac:dyDescent="0.3">
      <c r="B2" t="s">
        <v>0</v>
      </c>
    </row>
    <row r="3" spans="2:5" x14ac:dyDescent="0.3">
      <c r="B3" t="s">
        <v>1</v>
      </c>
      <c r="E3" s="1" t="s">
        <v>2</v>
      </c>
    </row>
    <row r="4" spans="2:5" x14ac:dyDescent="0.3">
      <c r="B4" t="s">
        <v>3</v>
      </c>
      <c r="E4" s="1" t="s">
        <v>2</v>
      </c>
    </row>
  </sheetData>
  <phoneticPr fontId="1" type="noConversion"/>
  <hyperlinks>
    <hyperlink ref="E3" location="'KTX-EMU 매뉴얼'!A1" display="바로가기" xr:uid="{80D2AD7E-2D6B-4CED-BD3C-741596DC5BEA}"/>
    <hyperlink ref="E4" location="'2. KTX-EMU 외주수선설명서'!A1" display="바로가기" xr:uid="{6E420E99-16E8-4537-8B30-8F17B0BA2D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ACBB-D6A5-4FF1-A4FA-C6E488F2704B}">
  <dimension ref="A1:Q6"/>
  <sheetViews>
    <sheetView workbookViewId="0">
      <selection activeCell="L4" sqref="L4"/>
    </sheetView>
  </sheetViews>
  <sheetFormatPr defaultRowHeight="16.5" x14ac:dyDescent="0.3"/>
  <cols>
    <col min="9" max="9" width="22.875" bestFit="1" customWidth="1"/>
    <col min="14" max="14" width="11.125" bestFit="1" customWidth="1"/>
  </cols>
  <sheetData>
    <row r="1" spans="1:17" x14ac:dyDescent="0.3">
      <c r="A1">
        <v>1</v>
      </c>
      <c r="B1" t="s">
        <v>4</v>
      </c>
      <c r="I1" t="s">
        <v>5</v>
      </c>
      <c r="J1" t="s">
        <v>6</v>
      </c>
      <c r="K1" t="s">
        <v>7</v>
      </c>
    </row>
    <row r="2" spans="1:17" x14ac:dyDescent="0.3">
      <c r="A2" t="s">
        <v>8</v>
      </c>
    </row>
    <row r="3" spans="1:17" x14ac:dyDescent="0.3">
      <c r="A3" t="s">
        <v>10</v>
      </c>
      <c r="B3" t="s">
        <v>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19</v>
      </c>
      <c r="K3" t="s">
        <v>18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</row>
    <row r="4" spans="1:17" x14ac:dyDescent="0.3">
      <c r="A4">
        <v>2025</v>
      </c>
      <c r="B4" t="s">
        <v>26</v>
      </c>
      <c r="C4" t="s">
        <v>27</v>
      </c>
      <c r="D4" t="s">
        <v>28</v>
      </c>
      <c r="E4">
        <v>5</v>
      </c>
      <c r="F4" t="s">
        <v>29</v>
      </c>
      <c r="G4" t="s">
        <v>30</v>
      </c>
      <c r="H4" s="3" t="s">
        <v>38</v>
      </c>
      <c r="I4" t="s">
        <v>31</v>
      </c>
      <c r="J4" t="s">
        <v>32</v>
      </c>
      <c r="K4" t="s">
        <v>33</v>
      </c>
      <c r="L4" s="1" t="s">
        <v>34</v>
      </c>
      <c r="M4" t="s">
        <v>35</v>
      </c>
      <c r="N4" s="2">
        <v>45726</v>
      </c>
      <c r="P4" t="s">
        <v>36</v>
      </c>
    </row>
    <row r="5" spans="1:17" hidden="1" x14ac:dyDescent="0.3">
      <c r="A5">
        <v>2025</v>
      </c>
      <c r="B5" t="s">
        <v>26</v>
      </c>
      <c r="C5" t="s">
        <v>27</v>
      </c>
      <c r="D5" t="s">
        <v>28</v>
      </c>
      <c r="E5">
        <v>5</v>
      </c>
      <c r="F5" t="s">
        <v>37</v>
      </c>
      <c r="G5" t="s">
        <v>30</v>
      </c>
      <c r="H5" s="3" t="s">
        <v>39</v>
      </c>
      <c r="I5" t="s">
        <v>41</v>
      </c>
      <c r="J5" t="s">
        <v>32</v>
      </c>
      <c r="K5" t="s">
        <v>33</v>
      </c>
      <c r="L5" s="1" t="s">
        <v>43</v>
      </c>
      <c r="M5" t="s">
        <v>35</v>
      </c>
      <c r="N5" s="2">
        <v>45726</v>
      </c>
      <c r="P5" t="s">
        <v>36</v>
      </c>
    </row>
    <row r="6" spans="1:17" x14ac:dyDescent="0.3">
      <c r="A6">
        <v>2025</v>
      </c>
      <c r="B6" t="s">
        <v>26</v>
      </c>
      <c r="C6" t="s">
        <v>27</v>
      </c>
      <c r="D6" t="s">
        <v>28</v>
      </c>
      <c r="E6">
        <v>5</v>
      </c>
      <c r="F6" t="s">
        <v>37</v>
      </c>
      <c r="G6" t="s">
        <v>30</v>
      </c>
      <c r="H6" s="3" t="s">
        <v>40</v>
      </c>
      <c r="I6" t="s">
        <v>42</v>
      </c>
      <c r="J6" t="s">
        <v>32</v>
      </c>
      <c r="K6" t="s">
        <v>33</v>
      </c>
      <c r="L6" s="1" t="s">
        <v>44</v>
      </c>
      <c r="M6" t="s">
        <v>35</v>
      </c>
      <c r="N6" s="2">
        <v>45726</v>
      </c>
      <c r="P6" t="s">
        <v>36</v>
      </c>
    </row>
  </sheetData>
  <phoneticPr fontId="1" type="noConversion"/>
  <hyperlinks>
    <hyperlink ref="L4" r:id="rId1" xr:uid="{47C8DB92-46D0-48FD-8A84-478E0E24274F}"/>
    <hyperlink ref="L5" r:id="rId2" xr:uid="{508E4C3F-AF9B-43D7-A362-DA8DD2AD2F6B}"/>
    <hyperlink ref="L6" r:id="rId3" xr:uid="{E98DCC68-7757-4D91-8C31-4088465887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920D-8D29-4BDB-B9FD-ED414B347D1B}">
  <dimension ref="A1:H5"/>
  <sheetViews>
    <sheetView workbookViewId="0">
      <selection activeCell="A3" sqref="A3"/>
    </sheetView>
  </sheetViews>
  <sheetFormatPr defaultRowHeight="16.5" x14ac:dyDescent="0.3"/>
  <sheetData>
    <row r="1" spans="1:8" x14ac:dyDescent="0.3">
      <c r="A1">
        <v>2</v>
      </c>
      <c r="B1" t="s">
        <v>45</v>
      </c>
      <c r="E1" t="s">
        <v>5</v>
      </c>
      <c r="H1" t="s">
        <v>46</v>
      </c>
    </row>
    <row r="2" spans="1:8" x14ac:dyDescent="0.3">
      <c r="A2" s="3" t="s">
        <v>185</v>
      </c>
    </row>
    <row r="3" spans="1:8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</row>
    <row r="4" spans="1:8" x14ac:dyDescent="0.3">
      <c r="A4" t="s">
        <v>56</v>
      </c>
      <c r="C4" t="s">
        <v>57</v>
      </c>
      <c r="D4" t="s">
        <v>59</v>
      </c>
      <c r="F4" s="1" t="s">
        <v>55</v>
      </c>
      <c r="G4" t="s">
        <v>35</v>
      </c>
    </row>
    <row r="5" spans="1:8" x14ac:dyDescent="0.3">
      <c r="A5" t="s">
        <v>56</v>
      </c>
      <c r="C5" t="s">
        <v>58</v>
      </c>
      <c r="D5" t="s">
        <v>60</v>
      </c>
      <c r="F5" s="1" t="s">
        <v>55</v>
      </c>
      <c r="G5" t="s">
        <v>35</v>
      </c>
    </row>
  </sheetData>
  <phoneticPr fontId="1" type="noConversion"/>
  <hyperlinks>
    <hyperlink ref="F4" r:id="rId1" xr:uid="{B50ED20D-6F88-4719-9776-80AE11A0F78D}"/>
    <hyperlink ref="F5" r:id="rId2" xr:uid="{F07870FF-6382-4B2F-9C72-752F80F7986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89B6-703B-402F-8781-344DDA789B3E}">
  <dimension ref="A1:U14"/>
  <sheetViews>
    <sheetView workbookViewId="0">
      <selection activeCell="C13" sqref="C13"/>
    </sheetView>
  </sheetViews>
  <sheetFormatPr defaultRowHeight="16.5" x14ac:dyDescent="0.3"/>
  <sheetData>
    <row r="1" spans="1:21" x14ac:dyDescent="0.3">
      <c r="A1">
        <v>3</v>
      </c>
      <c r="B1" t="s">
        <v>61</v>
      </c>
    </row>
    <row r="3" spans="1:21" x14ac:dyDescent="0.3">
      <c r="A3" t="s">
        <v>62</v>
      </c>
    </row>
    <row r="4" spans="1:21" x14ac:dyDescent="0.3">
      <c r="A4" t="s">
        <v>63</v>
      </c>
      <c r="B4" t="s">
        <v>64</v>
      </c>
      <c r="C4" t="s">
        <v>65</v>
      </c>
      <c r="D4" t="s">
        <v>66</v>
      </c>
      <c r="J4" t="s">
        <v>73</v>
      </c>
      <c r="N4" t="s">
        <v>78</v>
      </c>
      <c r="Q4" t="s">
        <v>82</v>
      </c>
    </row>
    <row r="5" spans="1:21" x14ac:dyDescent="0.3"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74</v>
      </c>
      <c r="K5" t="s">
        <v>75</v>
      </c>
      <c r="L5" t="s">
        <v>76</v>
      </c>
      <c r="M5" t="s">
        <v>77</v>
      </c>
      <c r="N5" t="s">
        <v>79</v>
      </c>
      <c r="O5" t="s">
        <v>80</v>
      </c>
      <c r="P5" t="s">
        <v>81</v>
      </c>
      <c r="Q5" t="s">
        <v>83</v>
      </c>
      <c r="R5" t="s">
        <v>84</v>
      </c>
      <c r="S5" t="s">
        <v>88</v>
      </c>
      <c r="T5" t="s">
        <v>90</v>
      </c>
      <c r="U5" t="s">
        <v>91</v>
      </c>
    </row>
    <row r="6" spans="1:21" x14ac:dyDescent="0.3">
      <c r="N6" t="s">
        <v>87</v>
      </c>
      <c r="Q6" t="s">
        <v>85</v>
      </c>
      <c r="R6" t="s">
        <v>86</v>
      </c>
      <c r="S6" t="s">
        <v>89</v>
      </c>
    </row>
    <row r="7" spans="1:21" x14ac:dyDescent="0.3">
      <c r="A7">
        <v>1</v>
      </c>
      <c r="B7" t="s">
        <v>97</v>
      </c>
      <c r="C7" s="1" t="s">
        <v>92</v>
      </c>
      <c r="N7" t="s">
        <v>96</v>
      </c>
    </row>
    <row r="8" spans="1:21" x14ac:dyDescent="0.3">
      <c r="C8" t="s">
        <v>93</v>
      </c>
    </row>
    <row r="9" spans="1:21" x14ac:dyDescent="0.3">
      <c r="C9" s="1" t="s">
        <v>94</v>
      </c>
    </row>
    <row r="10" spans="1:21" x14ac:dyDescent="0.3">
      <c r="C10" t="s">
        <v>95</v>
      </c>
    </row>
    <row r="11" spans="1:21" x14ac:dyDescent="0.3">
      <c r="A11">
        <v>2</v>
      </c>
      <c r="B11" t="s">
        <v>97</v>
      </c>
      <c r="C11" s="1" t="s">
        <v>92</v>
      </c>
      <c r="N11" t="s">
        <v>96</v>
      </c>
    </row>
    <row r="12" spans="1:21" x14ac:dyDescent="0.3">
      <c r="C12" t="s">
        <v>93</v>
      </c>
    </row>
    <row r="13" spans="1:21" x14ac:dyDescent="0.3">
      <c r="C13" s="1" t="s">
        <v>94</v>
      </c>
    </row>
    <row r="14" spans="1:21" x14ac:dyDescent="0.3">
      <c r="C14" t="s">
        <v>95</v>
      </c>
    </row>
  </sheetData>
  <phoneticPr fontId="1" type="noConversion"/>
  <hyperlinks>
    <hyperlink ref="C7" r:id="rId1" xr:uid="{7D7731CB-2B00-40E3-960E-9F8918DB5025}"/>
    <hyperlink ref="C9" r:id="rId2" xr:uid="{AE76C866-00A6-4DC7-AB56-813D4C9A5610}"/>
    <hyperlink ref="C11" r:id="rId3" xr:uid="{2F6E94A8-C731-410B-AC2F-D8CD08809A52}"/>
    <hyperlink ref="C13" r:id="rId4" xr:uid="{2FB63A87-1D63-4CB5-9681-4F9057824AD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7B56-D843-4967-905C-F8CE72598114}">
  <dimension ref="A1:S8"/>
  <sheetViews>
    <sheetView tabSelected="1" workbookViewId="0"/>
  </sheetViews>
  <sheetFormatPr defaultRowHeight="16.5" x14ac:dyDescent="0.3"/>
  <sheetData>
    <row r="1" spans="1:19" x14ac:dyDescent="0.3">
      <c r="A1">
        <v>6</v>
      </c>
      <c r="B1" t="s">
        <v>156</v>
      </c>
      <c r="D1" s="4" t="s">
        <v>186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B2" t="s">
        <v>187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4" t="s">
        <v>47</v>
      </c>
      <c r="B4" s="5" t="s">
        <v>157</v>
      </c>
      <c r="C4" s="5" t="s">
        <v>158</v>
      </c>
      <c r="D4" s="5" t="s">
        <v>159</v>
      </c>
      <c r="E4" s="5" t="s">
        <v>160</v>
      </c>
      <c r="F4" s="5"/>
      <c r="G4" s="5"/>
      <c r="H4" s="5"/>
      <c r="I4" s="5"/>
      <c r="J4" s="5"/>
      <c r="K4" s="5" t="s">
        <v>167</v>
      </c>
      <c r="L4" s="4" t="s">
        <v>168</v>
      </c>
      <c r="M4" s="4" t="s">
        <v>169</v>
      </c>
      <c r="N4" s="4" t="s">
        <v>170</v>
      </c>
      <c r="O4" s="4" t="s">
        <v>171</v>
      </c>
      <c r="P4" s="4"/>
      <c r="Q4" s="4"/>
      <c r="R4" s="4"/>
      <c r="S4" s="4" t="s">
        <v>142</v>
      </c>
    </row>
    <row r="5" spans="1:19" ht="16.5" customHeight="1" x14ac:dyDescent="0.3">
      <c r="A5" s="4"/>
      <c r="B5" s="5"/>
      <c r="C5" s="5"/>
      <c r="D5" s="5"/>
      <c r="E5" s="4" t="s">
        <v>161</v>
      </c>
      <c r="F5" s="4" t="s">
        <v>162</v>
      </c>
      <c r="G5" s="4" t="s">
        <v>163</v>
      </c>
      <c r="H5" s="4" t="s">
        <v>164</v>
      </c>
      <c r="I5" s="4" t="s">
        <v>165</v>
      </c>
      <c r="J5" s="4" t="s">
        <v>166</v>
      </c>
      <c r="K5" s="5"/>
      <c r="L5" s="4"/>
      <c r="M5" s="4"/>
      <c r="N5" s="4"/>
      <c r="O5" s="4"/>
      <c r="P5" s="4"/>
      <c r="Q5" s="4"/>
      <c r="R5" s="4"/>
      <c r="S5" s="4"/>
    </row>
    <row r="6" spans="1:19" ht="33" x14ac:dyDescent="0.3">
      <c r="A6" s="4"/>
      <c r="B6" s="5"/>
      <c r="C6" s="5"/>
      <c r="D6" s="5"/>
      <c r="E6" s="4"/>
      <c r="F6" s="4"/>
      <c r="G6" s="4"/>
      <c r="H6" s="4"/>
      <c r="I6" s="4"/>
      <c r="J6" s="4"/>
      <c r="K6" s="5"/>
      <c r="L6" s="4"/>
      <c r="M6" s="4"/>
      <c r="N6" s="4"/>
      <c r="O6" s="7" t="s">
        <v>172</v>
      </c>
      <c r="P6" s="7" t="s">
        <v>173</v>
      </c>
      <c r="Q6" s="7" t="s">
        <v>174</v>
      </c>
      <c r="R6" s="7" t="s">
        <v>175</v>
      </c>
      <c r="S6" s="4"/>
    </row>
    <row r="7" spans="1:19" x14ac:dyDescent="0.3">
      <c r="A7">
        <v>1</v>
      </c>
      <c r="B7" t="s">
        <v>176</v>
      </c>
      <c r="C7" t="s">
        <v>177</v>
      </c>
      <c r="D7" t="s">
        <v>178</v>
      </c>
      <c r="E7" t="s">
        <v>179</v>
      </c>
      <c r="J7" t="s">
        <v>179</v>
      </c>
      <c r="K7">
        <v>1.04</v>
      </c>
      <c r="L7">
        <v>1.04</v>
      </c>
      <c r="M7" t="str">
        <f>IF(K7=L7,"일치","불일치")</f>
        <v>일치</v>
      </c>
      <c r="N7" t="s">
        <v>180</v>
      </c>
      <c r="O7" t="s">
        <v>179</v>
      </c>
      <c r="P7" t="s">
        <v>179</v>
      </c>
    </row>
    <row r="8" spans="1:19" x14ac:dyDescent="0.3">
      <c r="A8">
        <v>2</v>
      </c>
      <c r="B8" t="s">
        <v>184</v>
      </c>
      <c r="C8" t="s">
        <v>183</v>
      </c>
      <c r="D8" t="s">
        <v>182</v>
      </c>
      <c r="E8" t="s">
        <v>179</v>
      </c>
      <c r="F8" t="s">
        <v>179</v>
      </c>
      <c r="G8" t="s">
        <v>179</v>
      </c>
      <c r="H8" t="s">
        <v>179</v>
      </c>
      <c r="I8" t="s">
        <v>179</v>
      </c>
      <c r="J8" t="s">
        <v>179</v>
      </c>
      <c r="K8">
        <v>1.1200000000000001</v>
      </c>
      <c r="L8">
        <v>1.1100000000000001</v>
      </c>
      <c r="M8" t="str">
        <f>IF(K8=L8,"일치","불일치")</f>
        <v>불일치</v>
      </c>
      <c r="N8" t="s">
        <v>181</v>
      </c>
      <c r="O8" t="s">
        <v>179</v>
      </c>
      <c r="Q8" t="s">
        <v>179</v>
      </c>
    </row>
  </sheetData>
  <mergeCells count="18">
    <mergeCell ref="D1:S3"/>
    <mergeCell ref="A4:A6"/>
    <mergeCell ref="B4:B6"/>
    <mergeCell ref="C4:C6"/>
    <mergeCell ref="D4:D6"/>
    <mergeCell ref="E4:J4"/>
    <mergeCell ref="J5:J6"/>
    <mergeCell ref="S4:S6"/>
    <mergeCell ref="E5:E6"/>
    <mergeCell ref="F5:F6"/>
    <mergeCell ref="G5:G6"/>
    <mergeCell ref="H5:H6"/>
    <mergeCell ref="I5:I6"/>
    <mergeCell ref="K4:K6"/>
    <mergeCell ref="L4:L6"/>
    <mergeCell ref="M4:M6"/>
    <mergeCell ref="N4:N6"/>
    <mergeCell ref="O4:R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70F8-18AC-4759-9122-8C7AB9A5479D}">
  <dimension ref="A1:L6"/>
  <sheetViews>
    <sheetView workbookViewId="0"/>
  </sheetViews>
  <sheetFormatPr defaultRowHeight="16.5" x14ac:dyDescent="0.3"/>
  <cols>
    <col min="10" max="10" width="21.75" customWidth="1"/>
  </cols>
  <sheetData>
    <row r="1" spans="1:12" x14ac:dyDescent="0.3">
      <c r="A1">
        <v>7</v>
      </c>
      <c r="B1" t="s">
        <v>133</v>
      </c>
    </row>
    <row r="3" spans="1:12" x14ac:dyDescent="0.3">
      <c r="A3" t="s">
        <v>47</v>
      </c>
      <c r="B3" t="s">
        <v>134</v>
      </c>
      <c r="C3" t="s">
        <v>64</v>
      </c>
      <c r="D3" t="s">
        <v>51</v>
      </c>
      <c r="E3" t="s">
        <v>135</v>
      </c>
      <c r="F3" t="s">
        <v>136</v>
      </c>
      <c r="G3" t="s">
        <v>137</v>
      </c>
      <c r="H3" t="s">
        <v>138</v>
      </c>
      <c r="I3" t="s">
        <v>139</v>
      </c>
      <c r="J3" t="s">
        <v>140</v>
      </c>
      <c r="K3" t="s">
        <v>141</v>
      </c>
      <c r="L3" t="s">
        <v>142</v>
      </c>
    </row>
    <row r="4" spans="1:12" x14ac:dyDescent="0.3">
      <c r="A4" s="3">
        <v>1</v>
      </c>
      <c r="B4" s="3" t="s">
        <v>143</v>
      </c>
      <c r="C4" s="3" t="s">
        <v>97</v>
      </c>
      <c r="D4" s="3" t="s">
        <v>144</v>
      </c>
      <c r="E4" s="3" t="s">
        <v>145</v>
      </c>
      <c r="F4" s="3" t="s">
        <v>146</v>
      </c>
      <c r="G4" s="3" t="s">
        <v>147</v>
      </c>
      <c r="H4" s="3" t="s">
        <v>148</v>
      </c>
      <c r="I4" s="3" t="s">
        <v>149</v>
      </c>
      <c r="J4" s="3" t="s">
        <v>150</v>
      </c>
      <c r="K4" s="3" t="s">
        <v>151</v>
      </c>
      <c r="L4" s="3" t="s">
        <v>152</v>
      </c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 t="s">
        <v>154</v>
      </c>
      <c r="K5" s="3" t="s">
        <v>151</v>
      </c>
      <c r="L5" s="3" t="s">
        <v>153</v>
      </c>
    </row>
    <row r="6" spans="1:12" x14ac:dyDescent="0.3">
      <c r="A6" s="3"/>
      <c r="B6" s="3"/>
      <c r="C6" s="3"/>
      <c r="D6" s="3"/>
      <c r="E6" s="3"/>
      <c r="F6" s="3"/>
      <c r="G6" s="3"/>
      <c r="H6" s="3"/>
      <c r="I6" s="3"/>
      <c r="J6" s="3" t="s">
        <v>155</v>
      </c>
      <c r="K6" s="3" t="s">
        <v>151</v>
      </c>
      <c r="L6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C9C3-E2E8-4FA5-91D3-AEFF5F36E6EA}">
  <dimension ref="A1:M11"/>
  <sheetViews>
    <sheetView workbookViewId="0">
      <selection activeCell="H10" sqref="H10"/>
    </sheetView>
  </sheetViews>
  <sheetFormatPr defaultRowHeight="16.5" x14ac:dyDescent="0.3"/>
  <cols>
    <col min="1" max="1" width="9.875" bestFit="1" customWidth="1"/>
  </cols>
  <sheetData>
    <row r="1" spans="1:13" x14ac:dyDescent="0.3">
      <c r="A1">
        <v>8</v>
      </c>
      <c r="B1" t="s">
        <v>98</v>
      </c>
    </row>
    <row r="2" spans="1:13" x14ac:dyDescent="0.3">
      <c r="A2">
        <v>8</v>
      </c>
    </row>
    <row r="3" spans="1:13" x14ac:dyDescent="0.3">
      <c r="A3" s="4" t="s">
        <v>99</v>
      </c>
      <c r="B3" s="4" t="s">
        <v>48</v>
      </c>
      <c r="C3" s="4" t="s">
        <v>100</v>
      </c>
      <c r="D3" s="4" t="s">
        <v>101</v>
      </c>
      <c r="E3" s="4" t="s">
        <v>102</v>
      </c>
      <c r="F3" s="4" t="s">
        <v>103</v>
      </c>
      <c r="G3" s="4"/>
      <c r="H3" s="4"/>
      <c r="I3" s="4" t="s">
        <v>107</v>
      </c>
      <c r="J3" s="4"/>
      <c r="K3" s="4"/>
      <c r="L3" s="4"/>
      <c r="M3" s="4" t="s">
        <v>109</v>
      </c>
    </row>
    <row r="4" spans="1:13" x14ac:dyDescent="0.3">
      <c r="A4" s="4"/>
      <c r="B4" s="4"/>
      <c r="C4" s="4"/>
      <c r="D4" s="4"/>
      <c r="E4" s="4"/>
      <c r="F4" t="s">
        <v>104</v>
      </c>
      <c r="G4" t="s">
        <v>105</v>
      </c>
      <c r="H4" t="s">
        <v>106</v>
      </c>
      <c r="I4" t="s">
        <v>104</v>
      </c>
      <c r="J4" t="s">
        <v>105</v>
      </c>
      <c r="K4" t="s">
        <v>106</v>
      </c>
      <c r="L4" t="s">
        <v>108</v>
      </c>
      <c r="M4" s="4"/>
    </row>
    <row r="5" spans="1:13" x14ac:dyDescent="0.3">
      <c r="A5" s="3" t="s">
        <v>111</v>
      </c>
      <c r="B5">
        <v>2023</v>
      </c>
      <c r="C5" s="4" t="s">
        <v>110</v>
      </c>
      <c r="D5" t="s">
        <v>117</v>
      </c>
      <c r="E5" s="1" t="s">
        <v>118</v>
      </c>
      <c r="F5" s="6" t="s">
        <v>119</v>
      </c>
      <c r="G5" s="6" t="s">
        <v>122</v>
      </c>
      <c r="H5" s="6" t="s">
        <v>123</v>
      </c>
      <c r="I5" s="6" t="s">
        <v>119</v>
      </c>
      <c r="J5" s="6" t="s">
        <v>124</v>
      </c>
      <c r="K5" s="6" t="s">
        <v>125</v>
      </c>
      <c r="L5" s="6" t="s">
        <v>130</v>
      </c>
      <c r="M5" s="6" t="s">
        <v>131</v>
      </c>
    </row>
    <row r="6" spans="1:13" x14ac:dyDescent="0.3">
      <c r="A6" s="3" t="s">
        <v>112</v>
      </c>
      <c r="B6">
        <v>2023</v>
      </c>
      <c r="C6" s="4"/>
      <c r="D6" t="s">
        <v>116</v>
      </c>
      <c r="E6" s="1" t="s">
        <v>118</v>
      </c>
      <c r="F6" s="6"/>
      <c r="G6" s="6"/>
      <c r="H6" s="6"/>
      <c r="I6" s="6"/>
      <c r="J6" s="6"/>
      <c r="K6" s="6"/>
      <c r="L6" s="6"/>
      <c r="M6" s="6"/>
    </row>
    <row r="7" spans="1:13" x14ac:dyDescent="0.3">
      <c r="A7" s="3" t="s">
        <v>113</v>
      </c>
      <c r="B7">
        <v>2023</v>
      </c>
      <c r="C7" t="s">
        <v>114</v>
      </c>
      <c r="D7" t="s">
        <v>115</v>
      </c>
      <c r="E7" s="1" t="s">
        <v>118</v>
      </c>
      <c r="F7" s="3" t="s">
        <v>120</v>
      </c>
      <c r="G7" s="3" t="s">
        <v>129</v>
      </c>
      <c r="H7" s="3" t="s">
        <v>128</v>
      </c>
      <c r="I7" s="3" t="s">
        <v>121</v>
      </c>
      <c r="J7" s="3" t="s">
        <v>127</v>
      </c>
      <c r="K7" s="3" t="s">
        <v>126</v>
      </c>
      <c r="L7" s="3" t="s">
        <v>130</v>
      </c>
      <c r="M7" s="3" t="s">
        <v>132</v>
      </c>
    </row>
    <row r="8" spans="1:13" x14ac:dyDescent="0.3">
      <c r="A8" s="3"/>
    </row>
    <row r="9" spans="1:13" x14ac:dyDescent="0.3">
      <c r="A9" s="3"/>
    </row>
    <row r="10" spans="1:13" x14ac:dyDescent="0.3">
      <c r="A10" s="3"/>
    </row>
    <row r="11" spans="1:13" x14ac:dyDescent="0.3">
      <c r="A11" s="3"/>
    </row>
  </sheetData>
  <mergeCells count="17">
    <mergeCell ref="H5:H6"/>
    <mergeCell ref="M3:M4"/>
    <mergeCell ref="I3:L3"/>
    <mergeCell ref="F3:H3"/>
    <mergeCell ref="E3:E4"/>
    <mergeCell ref="I5:I6"/>
    <mergeCell ref="J5:J6"/>
    <mergeCell ref="K5:K6"/>
    <mergeCell ref="L5:L6"/>
    <mergeCell ref="M5:M6"/>
    <mergeCell ref="B3:B4"/>
    <mergeCell ref="A3:A4"/>
    <mergeCell ref="C5:C6"/>
    <mergeCell ref="F5:F6"/>
    <mergeCell ref="G5:G6"/>
    <mergeCell ref="D3:D4"/>
    <mergeCell ref="C3:C4"/>
  </mergeCells>
  <phoneticPr fontId="1" type="noConversion"/>
  <hyperlinks>
    <hyperlink ref="E5" r:id="rId1" xr:uid="{25D8F748-532E-4138-91BC-97CD0AB0C748}"/>
    <hyperlink ref="E6" r:id="rId2" xr:uid="{357AD582-013D-4277-888C-A933E9B079C1}"/>
    <hyperlink ref="E7" r:id="rId3" xr:uid="{478F01FD-1389-43C5-A40A-53830D44F0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목차</vt:lpstr>
      <vt:lpstr>KTX-EMU 매뉴얼</vt:lpstr>
      <vt:lpstr>2. KTX-EMU 외주수선설명서</vt:lpstr>
      <vt:lpstr>3. KTX-EMU 시험조사</vt:lpstr>
      <vt:lpstr>6. KTX-이음 소프트웨어</vt:lpstr>
      <vt:lpstr>7. KTX-EMU 신뢰성분석</vt:lpstr>
      <vt:lpstr>8. KTX-이음 유지보수성 입증 자료(30량)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changgeun lee</dc:creator>
  <cp:lastModifiedBy>changgeun lee</cp:lastModifiedBy>
  <dcterms:created xsi:type="dcterms:W3CDTF">2025-10-13T01:13:49Z</dcterms:created>
  <dcterms:modified xsi:type="dcterms:W3CDTF">2025-12-01T04:45:52Z</dcterms:modified>
</cp:coreProperties>
</file>